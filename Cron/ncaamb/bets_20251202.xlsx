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ame\Documents\Sport-Website\PMSports\Cron\ncaamb\"/>
    </mc:Choice>
  </mc:AlternateContent>
  <xr:revisionPtr revIDLastSave="0" documentId="13_ncr:1_{F41F1CC8-0235-47E6-8F35-88ADC7E6B12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</calcChain>
</file>

<file path=xl/sharedStrings.xml><?xml version="1.0" encoding="utf-8"?>
<sst xmlns="http://schemas.openxmlformats.org/spreadsheetml/2006/main" count="69" uniqueCount="51">
  <si>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</si>
  <si>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</si>
  <si>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</si>
  <si>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</si>
  <si>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</si>
  <si>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</si>
  <si>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</si>
  <si>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</si>
  <si>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</si>
  <si>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</si>
  <si>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</si>
  <si>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ou_point</t>
  </si>
  <si>
    <t>confidence</t>
  </si>
  <si>
    <t>ML</t>
  </si>
  <si>
    <t>2025-12-02</t>
  </si>
  <si>
    <t>20251202_Abilene Christian_Pepperdine</t>
  </si>
  <si>
    <t>Pepperdine</t>
  </si>
  <si>
    <t>Abilene Christian</t>
  </si>
  <si>
    <t>-110</t>
  </si>
  <si>
    <t>1.909</t>
  </si>
  <si>
    <t>0.5487</t>
  </si>
  <si>
    <t>betmgm</t>
  </si>
  <si>
    <t>20251202_California_Utah</t>
  </si>
  <si>
    <t>California</t>
  </si>
  <si>
    <t>Utah</t>
  </si>
  <si>
    <t>-350</t>
  </si>
  <si>
    <t>1.286</t>
  </si>
  <si>
    <t>0.8296</t>
  </si>
  <si>
    <t>20251202_Iowa_Michigan St.</t>
  </si>
  <si>
    <t>Michigan St.</t>
  </si>
  <si>
    <t>Iowa</t>
  </si>
  <si>
    <t>-275</t>
  </si>
  <si>
    <t>1.364</t>
  </si>
  <si>
    <t>0.7439</t>
  </si>
  <si>
    <t>20251202_South Carolina_Virginia Tech</t>
  </si>
  <si>
    <t>South Carolina</t>
  </si>
  <si>
    <t>Virginia Tech</t>
  </si>
  <si>
    <t>-112</t>
  </si>
  <si>
    <t>1.893</t>
  </si>
  <si>
    <t>0.5463</t>
  </si>
  <si>
    <t>draftkings</t>
  </si>
  <si>
    <t>20251202_Syracuse_Tennessee</t>
  </si>
  <si>
    <t>Tennessee</t>
  </si>
  <si>
    <t>Syracuse</t>
  </si>
  <si>
    <t>0.7588</t>
  </si>
  <si>
    <t>OU</t>
  </si>
  <si>
    <t>20251202_Army_George Washington</t>
  </si>
  <si>
    <t>UNDER</t>
  </si>
  <si>
    <t>betonlineag</t>
  </si>
  <si>
    <t>20251202_Duquesne_William &amp; Mary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</si>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</sst>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5"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N8" totalsRowShown="0">
  <autoFilter ref="A1:N8" xr:uid="{00000000-0009-0000-0100-000001000000}"/>
  <tableColumns count="14">
    <tableColumn id="1" xr3:uid="{00000000-0010-0000-0000-000001000000}" name="type"/>
    <tableColumn id="2" xr3:uid="{00000000-0010-0000-0000-000002000000}" name="date"/>
    <tableColumn id="3" xr3:uid="{00000000-0010-0000-0000-000003000000}" name="game_id"/>
    <tableColumn id="4" xr3:uid="{00000000-0010-0000-0000-000004000000}" name="bet_on"/>
    <tableColumn id="5" xr3:uid="{00000000-0010-0000-0000-000005000000}" name="opponent"/>
    <tableColumn id="6" xr3:uid="{00000000-0010-0000-0000-000006000000}" name="odds"/>
    <tableColumn id="7" xr3:uid="{00000000-0010-0000-0000-000007000000}" name="decimal"/>
    <tableColumn id="8" xr3:uid="{00000000-0010-0000-0000-000008000000}" name="win_prob"/>
    <tableColumn id="9" xr3:uid="{00000000-0010-0000-0000-000009000000}" name="ev_percent" dataDxfId="4"/>
    <tableColumn id="10" xr3:uid="{00000000-0010-0000-0000-00000A000000}" name="bookmaker"/>
    <tableColumn id="11" xr3:uid="{00000000-0010-0000-0000-00000B000000}" name="ensemble" dataDxfId="3"/>
    <tableColumn id="12" xr3:uid="{00000000-0010-0000-0000-00000C000000}" name="ou_point" dataDxfId="2"/>
    <tableColumn id="13" xr3:uid="{00000000-0010-0000-0000-00000D000000}" name="confidence" dataDxfId="1"/>
    <tableColumn id="14" xr3:uid="{3BE5721B-2B66-45E8-8DA3-613850546A03}" name="Column1" dataDxfId="0">
      <calculatedColumnFormula>Frame0[[#This Row],[ensemble]]-Frame0[[#This Row],[ou_point]]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C8" sqref="C7:C8"/>
    </sheetView>
  </sheetViews>
  <sheetFormatPr defaultRowHeight="15" x14ac:dyDescent="0.25"/>
  <cols>
    <col min="3" max="3" width="37.5703125" bestFit="1" customWidth="1"/>
    <col min="4" max="4" width="14" bestFit="1" customWidth="1"/>
    <col min="5" max="5" width="16.42578125" bestFit="1" customWidth="1"/>
    <col min="6" max="6" width="7.5703125" bestFit="1" customWidth="1"/>
    <col min="7" max="7" width="10.28515625" bestFit="1" customWidth="1"/>
    <col min="8" max="8" width="11.7109375" bestFit="1" customWidth="1"/>
    <col min="9" max="9" width="13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50</v>
      </c>
    </row>
    <row r="2" spans="1:14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2">
        <v>4.76</v>
      </c>
      <c r="J2" s="1" t="s">
        <v>21</v>
      </c>
      <c r="K2" s="2"/>
      <c r="L2" s="2"/>
      <c r="M2" s="2"/>
      <c r="N2" s="3">
        <f>Frame0[[#This Row],[ensemble]]-Frame0[[#This Row],[ou_point]]</f>
        <v>0</v>
      </c>
    </row>
    <row r="3" spans="1:14" x14ac:dyDescent="0.25">
      <c r="A3" s="1" t="s">
        <v>13</v>
      </c>
      <c r="B3" s="1" t="s">
        <v>14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2">
        <v>6.66</v>
      </c>
      <c r="J3" s="1" t="s">
        <v>21</v>
      </c>
      <c r="K3" s="2"/>
      <c r="L3" s="2"/>
      <c r="M3" s="2"/>
      <c r="N3" s="3">
        <f>Frame0[[#This Row],[ensemble]]-Frame0[[#This Row],[ou_point]]</f>
        <v>0</v>
      </c>
    </row>
    <row r="4" spans="1:14" x14ac:dyDescent="0.25">
      <c r="A4" s="1" t="s">
        <v>13</v>
      </c>
      <c r="B4" s="1" t="s">
        <v>14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2">
        <v>1.44</v>
      </c>
      <c r="J4" s="1" t="s">
        <v>21</v>
      </c>
      <c r="K4" s="2"/>
      <c r="L4" s="2"/>
      <c r="M4" s="2"/>
      <c r="N4" s="3">
        <f>Frame0[[#This Row],[ensemble]]-Frame0[[#This Row],[ou_point]]</f>
        <v>0</v>
      </c>
    </row>
    <row r="5" spans="1:14" x14ac:dyDescent="0.25">
      <c r="A5" s="1" t="s">
        <v>13</v>
      </c>
      <c r="B5" s="1" t="s">
        <v>14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2">
        <v>3.41</v>
      </c>
      <c r="J5" s="1" t="s">
        <v>40</v>
      </c>
      <c r="K5" s="2"/>
      <c r="L5" s="2"/>
      <c r="M5" s="2"/>
      <c r="N5" s="3">
        <f>Frame0[[#This Row],[ensemble]]-Frame0[[#This Row],[ou_point]]</f>
        <v>0</v>
      </c>
    </row>
    <row r="6" spans="1:14" x14ac:dyDescent="0.25">
      <c r="A6" s="1" t="s">
        <v>13</v>
      </c>
      <c r="B6" s="1" t="s">
        <v>14</v>
      </c>
      <c r="C6" s="1" t="s">
        <v>41</v>
      </c>
      <c r="D6" s="1" t="s">
        <v>42</v>
      </c>
      <c r="E6" s="1" t="s">
        <v>43</v>
      </c>
      <c r="F6" s="1" t="s">
        <v>31</v>
      </c>
      <c r="G6" s="1" t="s">
        <v>32</v>
      </c>
      <c r="H6" s="1" t="s">
        <v>44</v>
      </c>
      <c r="I6" s="2">
        <v>3.47</v>
      </c>
      <c r="J6" s="1" t="s">
        <v>21</v>
      </c>
      <c r="K6" s="2"/>
      <c r="L6" s="2"/>
      <c r="M6" s="2"/>
      <c r="N6" s="3">
        <f>Frame0[[#This Row],[ensemble]]-Frame0[[#This Row],[ou_point]]</f>
        <v>0</v>
      </c>
    </row>
    <row r="7" spans="1:14" x14ac:dyDescent="0.25">
      <c r="A7" s="1" t="s">
        <v>45</v>
      </c>
      <c r="B7" s="1" t="s">
        <v>14</v>
      </c>
      <c r="C7" s="1" t="s">
        <v>46</v>
      </c>
      <c r="D7" s="1" t="s">
        <v>47</v>
      </c>
      <c r="E7" s="1"/>
      <c r="F7" s="1"/>
      <c r="G7" s="1"/>
      <c r="H7" s="1"/>
      <c r="I7" s="2">
        <v>-1.65</v>
      </c>
      <c r="J7" s="1" t="s">
        <v>48</v>
      </c>
      <c r="K7" s="2">
        <v>154.35</v>
      </c>
      <c r="L7" s="2">
        <v>156</v>
      </c>
      <c r="M7" s="2">
        <v>0.36630000000000001</v>
      </c>
      <c r="N7" s="3">
        <f>Frame0[[#This Row],[ensemble]]-Frame0[[#This Row],[ou_point]]</f>
        <v>-1.6500000000000057</v>
      </c>
    </row>
    <row r="8" spans="1:14" x14ac:dyDescent="0.25">
      <c r="A8" s="1" t="s">
        <v>45</v>
      </c>
      <c r="B8" s="1" t="s">
        <v>14</v>
      </c>
      <c r="C8" s="1" t="s">
        <v>49</v>
      </c>
      <c r="D8" s="1" t="s">
        <v>47</v>
      </c>
      <c r="E8" s="1"/>
      <c r="F8" s="1"/>
      <c r="G8" s="1"/>
      <c r="H8" s="1"/>
      <c r="I8" s="2">
        <v>-1.81</v>
      </c>
      <c r="J8" s="1" t="s">
        <v>48</v>
      </c>
      <c r="K8" s="2">
        <v>165.69</v>
      </c>
      <c r="L8" s="2">
        <v>167.5</v>
      </c>
      <c r="M8" s="2">
        <v>0.37340000000000001</v>
      </c>
      <c r="N8" s="3">
        <f>Frame0[[#This Row],[ensemble]]-Frame0[[#This Row],[ou_point]]</f>
        <v>-1.8100000000000023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Clay Ramey</cp:lastModifiedBy>
  <dcterms:created xsi:type="dcterms:W3CDTF">2025-12-02T08:26:45Z</dcterms:created>
  <dcterms:modified xsi:type="dcterms:W3CDTF">2025-12-02T08:44:02Z</dcterms:modified>
</cp:coreProperties>
</file>